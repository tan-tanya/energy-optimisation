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anya\Desktop\MECH70038 - Research Project\git\data\"/>
    </mc:Choice>
  </mc:AlternateContent>
  <xr:revisionPtr revIDLastSave="0" documentId="13_ncr:1_{E059F067-14FA-4CBE-97E4-4BD147F43FBB}" xr6:coauthVersionLast="47" xr6:coauthVersionMax="47" xr10:uidLastSave="{00000000-0000-0000-0000-000000000000}"/>
  <bookViews>
    <workbookView xWindow="-110" yWindow="-110" windowWidth="25820" windowHeight="15500" xr2:uid="{00000000-000D-0000-FFFF-FFFF00000000}"/>
  </bookViews>
  <sheets>
    <sheet name="Directory" sheetId="1" r:id="rId1"/>
    <sheet name="Assumptions" sheetId="2" r:id="rId2"/>
  </sheets>
  <calcPr calcId="0"/>
</workbook>
</file>

<file path=xl/sharedStrings.xml><?xml version="1.0" encoding="utf-8"?>
<sst xmlns="http://schemas.openxmlformats.org/spreadsheetml/2006/main" count="340" uniqueCount="299">
  <si>
    <t>Data Layer</t>
  </si>
  <si>
    <t>Data Stored In</t>
  </si>
  <si>
    <t>Tab (if relevant)</t>
  </si>
  <si>
    <t>Source</t>
  </si>
  <si>
    <t>Standard / Tool / Guide</t>
  </si>
  <si>
    <t>Note</t>
  </si>
  <si>
    <t>Data Extraction Steps</t>
  </si>
  <si>
    <t>Link</t>
  </si>
  <si>
    <t>Demand: Activity class</t>
  </si>
  <si>
    <t>inputs.xlsx</t>
  </si>
  <si>
    <t>CIBSE Dashboard</t>
  </si>
  <si>
    <t>CIBSE</t>
  </si>
  <si>
    <t>Energy Benchmarking Dashboard;
ref: Guide F: Energy Efficiency in Buildings, Table 20.1</t>
  </si>
  <si>
    <t>Regional &amp; national non-domestic benchmarks (kWh/m²/yr), last updated: 2021</t>
  </si>
  <si>
    <t>1) Download PDF
2) Convert to .csv format</t>
  </si>
  <si>
    <t>https://www.cibse.org/knowledge-research/knowledge-resources/knowledge-toolbox/benchmarking-registration</t>
  </si>
  <si>
    <t>NCM - Activity
NCM - Occupancy</t>
  </si>
  <si>
    <t>DESNZ</t>
  </si>
  <si>
    <t>NCM Activity Database</t>
  </si>
  <si>
    <t>Operational profiles (occupancy, lighting, equipment schedules) by activity type, last updated: 2022</t>
  </si>
  <si>
    <t>1) Download and install iSBEM
2) Extract ncmsbem.mdb
3) Convert to .csv format
4) Operational profiles are in activity_sbem_L.csv</t>
  </si>
  <si>
    <t>https://www.uk-ncm.org.uk/download.jsp</t>
  </si>
  <si>
    <t>Demand: Weather &amp; occupancy adjustments</t>
  </si>
  <si>
    <t>CIBSE - TM46 Adjustment
CIBSE - TM46 Weekday-end</t>
  </si>
  <si>
    <t>TM46: Energy Benchmarks</t>
  </si>
  <si>
    <t>Comprehensive outline of building energy benchmarks, how they were developed, and how to use them, provides details of separable energy uses and includes weather and occupancy adjustments</t>
  </si>
  <si>
    <t>1) Convert page 16-17 to .csv format</t>
  </si>
  <si>
    <t>https://irp-cdn.multiscreensite.com/8c467baa/files/uploaded/CIBSE-TM46-Energy-Benchmarks.compressed.pdf</t>
  </si>
  <si>
    <t>Demand: Base loads</t>
  </si>
  <si>
    <t>BEES - Energy End Uses
BEES - Floor Areas</t>
  </si>
  <si>
    <t>BEES</t>
  </si>
  <si>
    <t>Building Energy Efficiency Survey</t>
  </si>
  <si>
    <t>Figure 3.7 shows end-use breakdown for each activity class; reasonable assumptions can be made as to which uses are required 24/7. Figure 1.4 shows median and n-percentile statistics for building areas in the UK, per activity class</t>
  </si>
  <si>
    <t>1) Download BEES Sector Tables zipped file
2) Convert Figure 3.7 tables into a single tab pivot table - end uses
3) Convert Figure 1.4 tables into a single tab pivot table - areas</t>
  </si>
  <si>
    <t>https://www.gov.uk/government/publications/building-energy-efficiency-survey-bees</t>
  </si>
  <si>
    <t>Demand: Electric vehicles</t>
  </si>
  <si>
    <t>UKPN - EV Profiles</t>
  </si>
  <si>
    <t>UK Power Networks</t>
  </si>
  <si>
    <t>Standard Profiles UK Power Networks Uses for Electricity Demand</t>
  </si>
  <si>
    <t>UK-wide EV charging demand profile (48 half-hour periods over 1 year) - 2019 - 2020 actual data</t>
  </si>
  <si>
    <t>1) Download .csv file</t>
  </si>
  <si>
    <t>https://ukpowernetworks.opendatasoft.com/explore/assets/ukpn-standard-profiles-electricity-demand/</t>
  </si>
  <si>
    <t>Demand: Electric vehicles (parking/dwell parameters)</t>
  </si>
  <si>
    <t>model_parameters.xlsx</t>
  </si>
  <si>
    <t>EV (DM)</t>
  </si>
  <si>
    <t>Building Regulations Approved Document S (2022); Buckinghamshire Council (2022); UK Planning Policy Guidance (2001) Annex D; BS EN 61851</t>
  </si>
  <si>
    <t>EV-enabled space fraction, per-activity parking density &amp; dwell hours, charger rating</t>
  </si>
  <si>
    <t>Feeds EV charging demand alongside the inputs.xlsx UKPN EV Profile (see 'Demand: Electric vehicles' row above)</t>
  </si>
  <si>
    <t>Tracked per parameter within sheet</t>
  </si>
  <si>
    <t>Demand: Climate &amp; demand-shape assumptions</t>
  </si>
  <si>
    <t>Climate &amp; Demand (DM)</t>
  </si>
  <si>
    <t>CIBSE TM46 Table 1; CIBSE Guide A; UK Met Office climate statistics</t>
  </si>
  <si>
    <t>Per-activity weekday/weekend load factor, diurnal amplitude, solar-geometry reference dates, HDD base temperature</t>
  </si>
  <si>
    <t>Feeds the intra-day demand shape and the sinusoid-temperature fallback. Source URLs are populated for the CIBSE Guide A diurnal-amplitude, TM46 weekend-load-factor and degreedays.net HDD-base rows; the solar-geometry reference DOYs and the numeric-tolerance/geometry constants carry a written source only</t>
  </si>
  <si>
    <t>Demand: Solar irradiance (GHI)</t>
  </si>
  <si>
    <t>GHI</t>
  </si>
  <si>
    <t>PVGIS (EC JRC) SARAH3, per representative station</t>
  </si>
  <si>
    <t>Long-term (2005-2023) monthly-average global horizontal irradiance, one row per district/month</t>
  </si>
  <si>
    <t>Feeds the PV generation profile (daily_ghi_kwh_per_m2)</t>
  </si>
  <si>
    <t>Demand: Location (Degree Days)</t>
  </si>
  <si>
    <t>/hdd/&lt;district&gt;_HDD_15.5C.csv</t>
  </si>
  <si>
    <t>-</t>
  </si>
  <si>
    <t>BizEE Software</t>
  </si>
  <si>
    <t>Degree Days</t>
  </si>
  <si>
    <t>- Provides global coverage of degree days based on weather station
- Can be generated and downloaded per location or fetched using API</t>
  </si>
  <si>
    <t>1) Download last 36 months of degree day data for 9 districts</t>
  </si>
  <si>
    <t>https://www.degreedays.net/</t>
  </si>
  <si>
    <t>Demand: Location (Light Hours)</t>
  </si>
  <si>
    <t>/sunlighthours/&lt;district&gt;.txt</t>
  </si>
  <si>
    <t>Met Office</t>
  </si>
  <si>
    <t>UK and regional series</t>
  </si>
  <si>
    <t>- Provides sunlight hours of all sub-regions within the UK</t>
  </si>
  <si>
    <t>1) Download sunlight hours (year-ordered) for 9 districts</t>
  </si>
  <si>
    <t>https://www.metoffice.gov.uk/research/climate/maps-and-data/uk-and-regional-series</t>
  </si>
  <si>
    <t>Demand: Temperature projections</t>
  </si>
  <si>
    <t>/climateprojections/UKCP_&lt;district&gt;.csv</t>
  </si>
  <si>
    <t>Regional projections</t>
  </si>
  <si>
    <t>- Regional projections of temperature until 2100</t>
  </si>
  <si>
    <t>Data: Variables from regional projections (12km) over UK for monthly, seasonal or annual data
'"Regional (12km)", "Anomaly values", "Mean air temperature anomaly", "1981-2010", "Admin Region", "Monthly:ALL", "Subset: regional 12km set only (12 members)", "CSV"</t>
  </si>
  <si>
    <t>https://ukclimateprojections-ui.metoffice.gov.uk/products/form/LS3_Subset_01</t>
  </si>
  <si>
    <t>Demand: Temperature projections (derived output)</t>
  </si>
  <si>
    <t>climate_projection_output.csv</t>
  </si>
  <si>
    <t>Derived (projections.py) - see /hdd (BizEE) and /climateprojections (UKCP18) rows above</t>
  </si>
  <si>
    <t>Fitted monthly temperature distributions shifted by the UKCP18 ensemble-mean anomaly; projects future HDDs 2026-2080</t>
  </si>
  <si>
    <t>Auto-generated pipeline artifact, not manually downloaded</t>
  </si>
  <si>
    <t>Auto-run: demand_profile_model.py invokes projections.py as a subprocess on every run (run_sigma_fit -&gt; run_hdd_projection). Can also be regenerated on its own: python projections.py</t>
  </si>
  <si>
    <t>Demand: Electricity growth (derived output)</t>
  </si>
  <si>
    <t>electricity_projection_output.csv</t>
  </si>
  <si>
    <t>DESNZ Annex F (already transcribed into Scalars sheet ELEC_DEMAND_TWH rows); derived by projections.py</t>
  </si>
  <si>
    <t>Non-heating electricity demand growth factor per year (2026-2050), DESNZ Reference scenario</t>
  </si>
  <si>
    <t>Auto-run: demand_profile_model.py invokes projections.py as a subprocess on every run (run_electricity_projection). Can also be regenerated on its own: python projections.py</t>
  </si>
  <si>
    <t>Demand: Roof storey survey</t>
  </si>
  <si>
    <t>api_osm_storeys.xlsx</t>
  </si>
  <si>
    <t>Summary / Storey Data / Roof Shape Summary / Flat by Footprint / Roof Shape Data</t>
  </si>
  <si>
    <t>OpenStreetMap (building:levels / roof:shape tags), via the public Overpass API</t>
  </si>
  <si>
    <t>National storey statistics &amp; flat-roof share per activity class, sampled across the 9 representative cities</t>
  </si>
  <si>
    <t>Feeds n_storeys (roof_footprint = GFA / n_storeys) and pv_inter_row_frac</t>
  </si>
  <si>
    <t>Run: python api_osm_storeys.py (queries public Overpass API endpoints, no API key)</t>
  </si>
  <si>
    <t>https://overpass-api.de/api/interpreter</t>
  </si>
  <si>
    <t>Demand: Diurnal temperature shape</t>
  </si>
  <si>
    <t>api_temperature_profiles.xlsx</t>
  </si>
  <si>
    <t>HourlyTemp / Meta</t>
  </si>
  <si>
    <t>Open-Meteo Historical Weather API (ERA5 reanalysis)</t>
  </si>
  <si>
    <t>Mean 24-hour diurnal temperature cycle per district/season, averaged over the last 10 complete years</t>
  </si>
  <si>
    <t>Feeds the real (non-sinusoid) intra-day temperature shape (ASHP COP + PV cell temperature)</t>
  </si>
  <si>
    <t>Run: python api_temperature_profiles.py (pulls ERA5 hourly 2m temperature, no API key)</t>
  </si>
  <si>
    <t>https://archive-api.open-meteo.com/v1/archive</t>
  </si>
  <si>
    <t>Demand: DEC metered validation</t>
  </si>
  <si>
    <t>/.admin/display-csv/certificates-&lt;year&gt;.csv</t>
  </si>
  <si>
    <t>Energy Performance of Buildings Register (MHCLG), England &amp; Wales</t>
  </si>
  <si>
    <t>Display Energy Certificates (DEC) bulk data extract; DECs are operational ratings scored against the CIBSE TM46 benchmarks</t>
  </si>
  <si>
    <t>Metered annual electricity and delivered-fuel intensities (kWh/m2/yr) for real buildings. Used to validate the modelled year-0 intensities from OUTSIDE the CIBSE/TM46 benchmark chain the profiles are built from, which is what the benchmark-vs-benchmark comparison could not do. Three-way per activity class: model / TM46 'typical_*' fields / DEC 'annual_*' metered actuals. Caveats restated in the output: DECs are issued to public-authority buildings only, and DEC applies at or above 250 m2, so smaller and private-sector premises are absent by design</t>
  </si>
  <si>
    <t>https://epc.opendatacommunities.org/downloads/dec</t>
  </si>
  <si>
    <t>Optimisation: General scalars</t>
  </si>
  <si>
    <t>Scalars</t>
  </si>
  <si>
    <t>HM Treasury Green Book; DESNZ Annex F; DNO headroom portals (see /headroom row above); NCM Modelling Guide 2021 Edition England</t>
  </si>
  <si>
    <t>Discount rate, general inflation, FX planning rates, GDP deflator (real-terms rebasing), DESNZ Reference electricity-demand growth, grid import/export headroom per district, primary energy factors for electricity and gas</t>
  </si>
  <si>
    <t>Mixed-scope sheet; each row individually cited via the sheet's own Source / Source URL columns. The PRIMARY_ENERGY_FACTOR rows are reporting-only (the primary-energy column on the MAC grid) and feed neither the cost nor the carbon objective</t>
  </si>
  <si>
    <t>Optimisation: Energy prices (wholesale/DUoS/CCL/SEG)</t>
  </si>
  <si>
    <t>Energy Prices</t>
  </si>
  <si>
    <t>DESNZ Quarterly Energy Prices; DNO Schedules of Charges (see /duoscharges row); Elexon MID (see api_wholesale_prices.xlsx row below); HMRC Climate Change Levy; Ofgem Smart Export Guarantee</t>
  </si>
  <si>
    <t>Non-domestic gas/electricity price bands, DUoS unit rates + time bands, Climate Change Levy, Smart Export Guarantee tariffs, Green Book non-commodity residual</t>
  </si>
  <si>
    <t>Feeds pricing.py's shaped intra-day import price and the model's flat elec_export_price</t>
  </si>
  <si>
    <t>Optimisation: Emissions &amp; carbon values</t>
  </si>
  <si>
    <t>Emissions</t>
  </si>
  <si>
    <t>DESNZ Quarterly Energy Prices (Tables 1, 2a) + Green Book supplementary guidance (Table 3)</t>
  </si>
  <si>
    <t>Grid electricity emissions factors, fuel-to-CO2e conversion factors, Green Book carbon values for appraisal</t>
  </si>
  <si>
    <t>Feeds the carbon/emissions objective (OF2) and the MAC columns</t>
  </si>
  <si>
    <t>Optimisation: PV technology costs</t>
  </si>
  <si>
    <t>PV</t>
  </si>
  <si>
    <t>CEP Technology Library v1.02; DESNZ (2024) Onshore Wind &amp; Solar cost assumptions; NREL cost benchmarks; Cayuela et al. (2024); Mondol, Yohanis &amp; Norton (2005)</t>
  </si>
  <si>
    <t>Module/inverter capex, cell efficiency, degradation rate, temperature coefficient, replacement year</t>
  </si>
  <si>
    <t>Feeds PV sizing capex &amp; performance terms in build_lp</t>
  </si>
  <si>
    <t>Optimisation: Battery technology costs</t>
  </si>
  <si>
    <t>Battery</t>
  </si>
  <si>
    <t>NREL (2025) Cost Projections for Utility-Scale Battery Storage; Laksahapsoro et al. (2025)</t>
  </si>
  <si>
    <t>Energy/power capex, round-trip efficiency, C-rate, SOC window, degradation rate</t>
  </si>
  <si>
    <t>Feeds battery sizing capex &amp; the SOC dynamics constraints</t>
  </si>
  <si>
    <t>Optimisation: Heating technology costs</t>
  </si>
  <si>
    <t>Heating</t>
  </si>
  <si>
    <t>Evidence update of low-carbon heating &amp; cooling in non-domestic buildings (DESNZ); Cadent Connections Charging Statement</t>
  </si>
  <si>
    <t>ASHP/GSHP/gas-boiler capex, decommissioning, gas-connection charges</t>
  </si>
  <si>
    <t>Feeds heating-plant capex, decommissioning and the replacement-year cost split. All rows are now sourced - no 'TO BE SOURCED' placeholders remain on this sheet</t>
  </si>
  <si>
    <t>Optimisation: Thermal store costs</t>
  </si>
  <si>
    <t>Thermal Store</t>
  </si>
  <si>
    <t>Danish Energy Agency Technology Data; IEA Technology (Sensible Heat Water Storage)</t>
  </si>
  <si>
    <t>Hot-water buffer-tank capex, charge/discharge efficiency, standing loss</t>
  </si>
  <si>
    <t>Feeds thermal-store sizing in the heat-side LP</t>
  </si>
  <si>
    <t>Optimisation: Roof constraints</t>
  </si>
  <si>
    <t>Roof</t>
  </si>
  <si>
    <t>Ghaleb &amp; Asif (2022); Eurocode 1 / SCI guidance; IEA PVPS; OSM-derived (see api_osm_storeys.xlsx row below)</t>
  </si>
  <si>
    <t>Usable roof fraction per activity, inter-row shading fraction, roof load/pitch</t>
  </si>
  <si>
    <t>Feeds n_pv_max (roof-area PV cap) per activity</t>
  </si>
  <si>
    <t>Optimisation: Heat-pump COP curves</t>
  </si>
  <si>
    <t>Heating &amp; COP (DM)</t>
  </si>
  <si>
    <t>CEP Technology Library v1.02; ErP/Ecodesign Regulation (EU) 813/2013</t>
  </si>
  <si>
    <t>ASHP/GSHP COP-vs-temperature fitted slopes; minimum gas-boiler efficiency</t>
  </si>
  <si>
    <t>Feeds cop_profile() and the boiler efficiency constant (ETA_BOILER)</t>
  </si>
  <si>
    <t>https://zenodo.org/records/5758943</t>
  </si>
  <si>
    <t>Optimisation: Ground-loop thermal properties</t>
  </si>
  <si>
    <t>Ground Loop (DM)</t>
  </si>
  <si>
    <t>Banks (2008), Introduction to Thermogeology; Met Office UK climate extremes; Zeh et al. (2022), Mapping Specific Heat Extraction for Very Shallow Geothermal Systems (Sustainability 14:4199); GLA London Employment Sites Database 2024</t>
  </si>
  <si>
    <t>Ground temperature, burial depth, soil thermal diffusivity, brine offset for GSHP COP; plus the horizontal-loop land-availability parameters (collector area per kW_th, site plot ratio, gross land per parking space)</t>
  </si>
  <si>
    <t>Feeds the vertical/horizontal GSHP entering-fluid-temperature model, and the land-area ceiling on GSHP (horizontal) heating capacity (optimisation_engine.land_limit_kwth: soft ground = site area - roof footprint - parking, divided by collector m2/kW_th). Vertical boreholes are unconstrained</t>
  </si>
  <si>
    <t>Optimisation: Grid connection limits</t>
  </si>
  <si>
    <t>/headroom/&lt;DNO file&gt;.csv</t>
  </si>
  <si>
    <t>UK Power Networks; Northern Powergrid; Electricity North West; SP Energy Networks; National Grid Electricity Distribution (NGED); SSEN</t>
  </si>
  <si>
    <t>DNO demand &amp; generation headroom / network capacity open-data portals (per-district import/export headroom, present-day basis)</t>
  </si>
  <si>
    <t>Feeds model_parameters.xlsx Scalars sheet GRID_*_LIMIT_KW rows: median import/export headroom of Primary 11/33kV substations per DNO area, mapped to district via districts.py</t>
  </si>
  <si>
    <t>1) Identify DNO for each of the 9 districts
2) Download headroom / network-capacity dataset from that DNO's open-data portal
3) Take median import/export headroom across Primary 11/33kV substations
4) Transcribe into Scalars sheet</t>
  </si>
  <si>
    <t>https://ukpowernetworks.opendatasoft.com/explore/dataset/dfes-network-headroom-report/</t>
  </si>
  <si>
    <t>Optimisation: DUoS network charges</t>
  </si>
  <si>
    <t>/duoscharges/&lt;DNO&gt;.xlsx</t>
  </si>
  <si>
    <t>UK Power Networks; Northern Powergrid; Electricity North West; NGED; SP Distribution; SSEN</t>
  </si>
  <si>
    <t>Each DNO's own 2025/26 CDCM 'Schedule of Charges and Other Tables', Annex 1 (LV Site-Specific tariff, Red/Amber/Green time bands &amp; unit rates)</t>
  </si>
  <si>
    <t>Feeds the wholesale+DUoS import-price build-up (pricing.py): per-district DUoS unit rates + time-band windows, transcribed into model_parameters.xlsx Energy Prices sheet</t>
  </si>
  <si>
    <t>1) Identify DNO for each of the 9 districts (districts.py District-&gt;DNO map)
2) Download that DNO's published Schedule of Charges workbook
3) Read Annex 1 'LV Site Specific' tariff: Red/Amber/Green unit rates + time-band hours
4) Transcribe into Energy Prices sheet</t>
  </si>
  <si>
    <t>https://www.ukpowernetworks.co.uk/our-company/distribution-use-of-system-charges</t>
  </si>
  <si>
    <t>Optimisation: Wholesale electricity prices</t>
  </si>
  <si>
    <t>api_wholesale_prices.xlsx</t>
  </si>
  <si>
    <t>Shape / Meta</t>
  </si>
  <si>
    <t>Elexon Insights Market Index Data (MID)</t>
  </si>
  <si>
    <t>GB wholesale half-hourly price shape + annual level, reduced to an average day per season x day-type</t>
  </si>
  <si>
    <t>Feeds the wholesale leg of pricing.py's DUoS+wholesale import-price build-up</t>
  </si>
  <si>
    <t>Run: python api_wholesale_prices.py (pulls Elexon's public REST API, no API key)</t>
  </si>
  <si>
    <t>https://data.elexon.co.uk/bmrs/api/v1/datasets/MID</t>
  </si>
  <si>
    <t>Optimisation: ASHP sensitivity (alternative product)</t>
  </si>
  <si>
    <t>ashp_grant_aerona3_sensitivity.py (module constants)</t>
  </si>
  <si>
    <t>Grant UK - Aerona3 R32 air source heat pump, declared product performance data</t>
  </si>
  <si>
    <t>Manufacturer declared COP at the A7/W55 rating point (EN 14511)</t>
  </si>
  <si>
    <t>Benchmarks the model's CEP-library ASHP against a real UK product: COP @ A7/W55 = 2.66 vs the model's 2.7283 (-2.50%), paired with a 2.6% cut to HEAT_COSTS['ASHP']['capex_per_kwth']. The COP/temperature slope is held at the model's value (cold-weather sensitivity assumed identical). Stage-1 sizing is fixed at the saved deterministic design; only stage-2 dispatch is re-solved</t>
  </si>
  <si>
    <t>1) Read the declared A7/W55 COP from the manufacturer's product data
2) Set GRANT_COP_AT_7C / CAPEX_REDUCTION_FRAC in ashp_grant_aerona3_sensitivity.py
3) Runs automatically at the end of optimisation_model.main(), or standalone: python ashp_grant_aerona3_sensitivity.py</t>
  </si>
  <si>
    <t>https://www.grantuk.com/products/renewables/aerona3-air-source-heat-pumps/</t>
  </si>
  <si>
    <t>Optimisation: PV sensitivity (alternative panel)</t>
  </si>
  <si>
    <t>pv_panel1_sensitivity.py (module constants)</t>
  </si>
  <si>
    <t>CEP Technology Library v1.02, 'PV (monocrystalline silicon)' sheet, Panel 1</t>
  </si>
  <si>
    <t>Same library as the PV sheet's model default (Panels 16-18 average); Panel 1 is the low-efficiency / low-price end of the range</t>
  </si>
  <si>
    <t>1) Read the Panel 1 row from the CEP library's PV sheet
2) Set PANEL_1 / PANEL_1_PRICE_PER_WP in pv_panel1_sensitivity.py
3) Runs automatically at the end of optimisation_model.main(), or standalone: python pv_panel1_sensitivity.py</t>
  </si>
  <si>
    <t>TAXONOMY: model_parameters</t>
  </si>
  <si>
    <t xml:space="preserve">- Single source of truth for tunable model parameters across the optimisation model and the demand model. Sheets suffixed '(DM)' hold demand-model parameters; the rest hold optimisation-model parameters. model_params.load_params() maps each sheet back into the module-level dicts/constants. </t>
  </si>
  <si>
    <t>- The optimisation is a pure linear program: every decision variable is continuous. The binary charge/discharge and import/export mutex formulation was verified lossless against it and removed, so there is no MIP gap or binary setting to record.</t>
  </si>
  <si>
    <t>- Type taxonomy (the Type column; live conditional formatting colours the row — edit via the dropdown):</t>
  </si>
  <si>
    <t xml:space="preserve">    * Verified assumption — value confirmed against the cited Source.</t>
  </si>
  <si>
    <t xml:space="preserve">    * Verifiable assumption — a specific source exists but the value is not yet confirmed against it; Source lists the citation to check.</t>
  </si>
  <si>
    <t xml:space="preserve">    * Placeholder — interim value, not yet sourced; Source flags where to look ('TO BE SOURCED — …').</t>
  </si>
  <si>
    <t xml:space="preserve">    * Standing assumption — deliberate modelling / design choice or simplification with no single external citation (Source = '-').</t>
  </si>
  <si>
    <t xml:space="preserve">    * Status at this revision: all 447 parameter rows across the 13 sheets resolve to Verified (416) or Standing (31) assumptions — no Verifiable or Placeholder rows remain, and no 'TO BE SOURCED' cells are outstanding.</t>
  </si>
  <si>
    <t>- Demand-model coverage &amp; deferrals:</t>
  </si>
  <si>
    <t xml:space="preserve">    * Included from demand_profile_model.py: heat-pump COP fits + envelopes, boiler efficiency, ground-loop thermal model, EV inputs, and climate/geometry/weekend-scaling constants.</t>
  </si>
  <si>
    <t xml:space="preserve">    * Deferred to inputs.xlsx (data loaded from that workbook, or mappings tightly coupled to it): CIBSE Dashboard, NCM occupancy/setpoints, TM46 adjustment, BEES floor areas + base-load fractions, UKPN EV shape; plus the ACTIVITY_LOOKUP mappings, BASE_LOAD_CFG and area_weights vectors. Handle these when deciding what to do with inputs.xlsx.</t>
  </si>
  <si>
    <t>- Intentionally not in this workbook:</t>
  </si>
  <si>
    <t xml:space="preserve">    * Derived values: battery chg_eff/disc_eff = sqrt(round_trip_eff); BATT_MAX_KW = c_rate_chg × BATT_MAX_KWH; DAMPING_DEPTH_M = sqrt(2·alpha/omega) and _OMEGA_YR (demand model).</t>
  </si>
  <si>
    <t xml:space="preserve">    * Solver / structural / calendar constants: timestep (T_RES_H, HH_PER_DAY), HORIZON_YEARS, BATT_MAX_KWH, solver time limit and worker/thread settings (optimisation_config.py); MONTH_DAYS / MONTH_SEASON / MONTHS_ORDER / SEASONS / DAY_TYPES (seasons.py). Model architecture, not empirical inputs.</t>
  </si>
  <si>
    <t xml:space="preserve">    * Primary-energy factors are an exception in the other direction: they live on the Scalars sheet (PRIMARY_ENERGY_FACTOR [electricity] = 1.501, [gas] = 1.130 kWh primary / kWh delivered, NCM Modelling Guide Table 32) and are loaded through model_params like any other parameter, but they feed neither OF1 nor OF2 — they are used only for the primary-energy reporting column on the MAC grid.</t>
  </si>
  <si>
    <t>ECONOMICS (cash flows in real terms)</t>
  </si>
  <si>
    <t>- Horizon — see optimisation_config.HORIZON_YEARS.</t>
  </si>
  <si>
    <t>- Real discount rate (WACC / HM Treasury Green Book STPR) — see model_parameters.xlsx: Scalars sheet, discount_rate.</t>
  </si>
  <si>
    <t>- Maintenance and insurance are technology-specific, not one flat percentage: PV maintenance + insurance are £/MW/yr rates (PV sheet); battery and thermal-store maintenance are a % of their own capex/yr (Battery / Thermal Store sheets, maint_pct_capex); heating maintenance is £/kW_th/yr (Heating sheet, maint_per_kwth_per_yr). Only PV carries a separate insurance line.</t>
  </si>
  <si>
    <t>- Real O&amp;M escalation — see Scalars sheet, general_inflation (the model runs in real prices, so this is 0 by construction unless overridden).</t>
  </si>
  <si>
    <t>- All cost vintages are rebased to a common real price-basis year via the UK GDP deflator before use, so PV/battery/heating/carbon figures sourced in different base years are comparable — see Scalars sheet, GDP_DEFLATOR [year] rows, and model_params.py (TARGET_PRICE_YEAR) / each sheet's 'Price Base Year' column.</t>
  </si>
  <si>
    <t>- No separate PV or thermal-store commissioning cost; battery and heat-pump commissioning are folded into their unit capex rates (see BATTERY / HEAT above).</t>
  </si>
  <si>
    <t>- BAU baseline (common to all scenarios) = conventional gas boiler (sized to peak) + grid electricity + gas, no PV/battery/thermal store, with the same new-build/retrofit treatment as the scenario. NPV savings = BAU NPV − scenario NPV; both include heating-plant capex, so heating systems compare fairly.</t>
  </si>
  <si>
    <t>GRID</t>
  </si>
  <si>
    <t>- Per-district connection ceilings — see model_parameters.xlsx: Scalars sheet, GRID_IMPORT_LIMIT_KW [district] / GRID_EXPORT_LIMIT_KW [district] rows (demand-headroom -&gt; import, generation-headroom -&gt; export; see each row's Source column for the originating DNO dataset).</t>
  </si>
  <si>
    <t xml:space="preserve">    * Import ceiling = the district's published DNO import headroom, applied as-is — there is no floor at the site's own baseline peak. A cell whose demand cannot be served within that headroom is reported Infeasible rather than quietly relaxed, and grid_sensitivity.py then bisects how far the ceiling would have to rise (grid_import_threshold_kw / grid_shortfall_kw).</t>
  </si>
  <si>
    <t xml:space="preserve">    * Export ceiling = district export limit (PV export is entirely new generation).</t>
  </si>
  <si>
    <t xml:space="preserve">- All 9 districts are sourced from their DNO (UKPN, NPg, ENWL+SPM, NGED, SPD, SSEN; see each row's Source cell). </t>
  </si>
  <si>
    <t>- Module geometry and performance (area, rated power, weight, STC efficiency, temperature coefficient, Ross cell-temperature coefficient, inverter efficiency) — see model_parameters.xlsx: PV sheet (each row's Source column).</t>
  </si>
  <si>
    <t>- Cell temperature: T_cell = T_amb + cell_temp_coeff × I (I = irradiance, W/m²) — see PV sheet, cell_temp_coeff.</t>
  </si>
  <si>
    <t>- PV capex = construction cost + infrastructure cost per kWp, each carrying its own DESNZ Low/Central/High scenario (one shared switch for both, Central active by default) — see PV sheet, const_per_kwp / infra_per_kwp, and PV_CAPEX_ACTIVE in model_params.py.</t>
  </si>
  <si>
    <t>- PV and inverter degradation, and inverter replacement year + cost share — see PV sheet, soh_decay_per_yr / soh_inv_decay_per_yr / inv_replace_year / inv_cost_share.</t>
  </si>
  <si>
    <t>- Maintenance and insurance are PV-specific £/MW/yr rates, each with its own Low/Central/High scenario — see PV sheet, maint_per_mw_per_yr / insurance_per_mw_per_yr. PV is the only technology with a separate insurance line (see ECONOMICS).</t>
  </si>
  <si>
    <t>ROOF (per activity class — see ROOF_PROPERTIES)</t>
  </si>
  <si>
    <t>- Roof footprint = BEES floor area / median storeys. Median storeys per activity read from the OpenStreetMap building:levels survey — see api_osm_storeys.py / data/api_osm_storeys.xlsx.</t>
  </si>
  <si>
    <t>- The footprint is split into a flat fraction and a pitched fraction; flat_share is matched to each activity's modelled footprint band — see data/api_osm_storeys.xlsx: 'Flat by Footprint' and model_parameters.xlsx: Roof sheet, ROOF_PITCH_DEG.</t>
  </si>
  <si>
    <t>- Usable PV area = footprint × [ flat_share × pv_usable_frac × pv_inter_row_frac + (1-flat_share) × (1/cos(pitch)) × pitched_usable_slope_frac ],</t>
  </si>
  <si>
    <t xml:space="preserve">  i.e. flat roofs use the literature usable fractions below, further de-rated by inter-row self-shading (flat-roof PV is tilted/rack-mounted); pitched roofs have a larger sloped surface but a smaller usable share after orientation, shading and obstructions, and are mounted flush to the slope so no inter-row spacing applies.</t>
  </si>
  <si>
    <t>- PV-usable fraction and inter-row spacing fraction of FLAT footprint, per activity (plant, rooflights, shading, module spacing, self-shading) — see model_parameters.xlsx: Roof sheet, pv_usable_frac / pv_inter_row_frac (see each row's Source column).</t>
  </si>
  <si>
    <t>- Roof live-load capacity available for PV; see Roof sheet, ROOF_LOAD_KG_PER_M2.</t>
  </si>
  <si>
    <t>BATTERY (Li-ion)</t>
  </si>
  <si>
    <t>- Energy capex, power capex, round-trip efficiency, usable SOC bounds, charge/discharge C-rate limits, degradation rate and replacement year — see model_parameters.xlsx: Battery sheet.</t>
  </si>
  <si>
    <t>- No separate commissioning cost: balance-of-system and commissioning are already embedded in the energy/power capex rates.</t>
  </si>
  <si>
    <t>HEAT: Scenario parameter</t>
  </si>
  <si>
    <t>- Useful thermal demand is tech-independent; same WD/WE scaling as electricity.</t>
  </si>
  <si>
    <t>- Conversion to fuel: gas boiler gas = useful heat / boiler efficiency; heat-pump electricity = useful heat / COP(t) — boiler efficiency and COP curve parameters: see model_parameters.xlsx: 'Heating &amp; COP (DM)' sheet.</t>
  </si>
  <si>
    <t xml:space="preserve">  The COP curves themselves live in demand_profile_model.py (cop_ashp / cop_gshp); the half-hourly COP profile per (heating, district, month) is assembled in optimisation_engine.cop_profile() — ASHP follows the outdoor-temperature curve hourly; GSHP follows a flat curve for vertical loops and a month-averaged ground-temperature curve for horizontal loops.</t>
  </si>
  <si>
    <t>- Heating-plant thermal capacity (kW_th) is always sized by the model. Capex and O&amp;M per kW_th for each heating type are on model_parameters.xlsx: Heating sheet (see each row's Type/Source columns); every row is now sourced.</t>
  </si>
  <si>
    <t>- Heat-pump replacement year, and the GSHP HP-unit-vs-ground-loop capex split used at replacement (the loop outlasts the horizon) — see Heating sheet, replace_year / replace_cost_share.</t>
  </si>
  <si>
    <t>- New-build vs retrofit (NEW_BUILD flag, optimisation_config.py): new-build installs a fresh boiler on the BAU and every scenario alike (gas capex cancels for a gas-vs-gas comparison; a heat-pump scenario gets an avoided-boiler credit). Retrofit treats the existing gas boiler as a sunk asset for a gas-boiler scenario (no capex, no replacement) and instead charges a heat-pump scenario a one-off fixed gas-service decommissioning cost with no avoided-boiler credit — see Heating sheet, decommission_fixed.</t>
  </si>
  <si>
    <t>- Thermal store is optional and sized by the model; daily-cycling only (no seasonal storage) — each representative day starts empty. Capex, standing loss, charge/discharge efficiency and replacement year — see model_parameters.xlsx: Thermal Store sheet.</t>
  </si>
  <si>
    <t>- GSHP (horizontal) capacity is capped by on-site land. Soft ground = site area (BEES floor area / SITE_PLOT_RATIO) − roof footprint − parking (EV_PARKING_DENSITY × PARKING_GROSS_M2_PER_SPACE), clamped at 0 m²; the trenched collector then needs HORIZONTAL_COLLECTOR_M2_PER_KWTH per kW_th, giving land_limit_kwth, which bounds q_heat_cap (optimisation_engine.py). Vertical boreholes need negligible surface area and are unconstrained. Parameters and sources: model_parameters.xlsx, Ground Loop (DM) sheet; binding cases are flagged by land_limit_binds in the sweep output.</t>
  </si>
  <si>
    <t>FUEL &amp; ELECTRICITY IMPORT PRICING</t>
  </si>
  <si>
    <t>- Gas import price: DESNZ Quarterly Energy Prices non-domestic size bands (incl. CCL), auto-selected per building by annual gas burned (useful heat / boiler efficiency); real escalation from the active DESNZ gas price-growth scenario — see model_parameters.xlsx: Energy Prices sheet (Gas Import / Energy Price Growth groups).</t>
  </si>
  <si>
    <t>- Electricity import price: a wholesale + regional DUoS build-up (wholesale × half-hourly shape + per-DNO DUoS Red/Amber/Green + CCL + band-specific residual), giving an intra-day, seasonal, regional price rather than one flat rate — see pricing.py and Energy Prices sheet (DUoS Time Band / DUoS Unit Charge / Retail Non-Commodity groups); wholesale level from api_wholesale_prices.py.</t>
  </si>
  <si>
    <t xml:space="preserve">  Can be switched off in favour of the flat DESNZ band price — see optimisation_config.USE_WHOLESALE_DUOS_BUILDUP.</t>
  </si>
  <si>
    <t>- Export price: SEG Low/Central/High sensitivities; real escalation from the electricity price-growth scenario — see Energy Prices sheet (Electricity Export group).</t>
  </si>
  <si>
    <t>DEMAND</t>
  </si>
  <si>
    <t>- Floor area per activity: BEES median premises floor area (Figure 1.4, England and Wales) — see demand_profile_model.load_bees_floor_areas() for the source workbook/sheet.</t>
  </si>
  <si>
    <t>- Electricity demand: lighting + small power + HVAC + EV + heat-pump electricity (if HP scenario)</t>
  </si>
  <si>
    <t>- Demand grows across the 15-year horizon: non-heat electricity per the DESNZ Reference projection; heat demand falls and heat-pump COP improves as the climate warms, per the UKCP18 projection — see growth.py and datasets.get_electricity_projection() / get_climate_projection() (year-0 = EMISSIONS_BASE_YEAR in model_params.py).</t>
  </si>
  <si>
    <t>- 24 representative days per year: 12 months × {WD, WE}. The WD/WE split applies wd_fac = 7/(5+2f) and we_fac = wd_fac × f</t>
  </si>
  <si>
    <t xml:space="preserve">  where f = WE_LOAD_FACTOR[activity] from TM46 operational schedules — see model_params.py.</t>
  </si>
  <si>
    <t>- WD/WE day counts per month are derived from a fixed representative calendar year — see optimisation_config.wd_we_counts_2025().</t>
  </si>
  <si>
    <t>PV irradiance</t>
  </si>
  <si>
    <t>- Per-district daily GHI (kWh/m²/day) from a long-term monthly average, taken directly at each district's reference weather station (see DISTRICT_STATIONS) — no inter-district scaling — see model_parameters.xlsx: GHI sheet (each row's Source column).</t>
  </si>
  <si>
    <t>- Hourly shape from dm.solar_elevation_profile at the parent-season DOY (mid-season solar geometry)</t>
  </si>
  <si>
    <t>- Ambient temperature per month uses monthly HDD via T_amb = T_base − HDD; hourly amplitude from dm.DIURNAL_AMPLITUDE at the parent-season level — see model_params.py, HDD_BASE / DIURNAL_AMPLITUDE.</t>
  </si>
  <si>
    <t>CARBON (OF2) — lifetime operational emissions, kgCO2e</t>
  </si>
  <si>
    <t>- Grid electricity emission factor: long-run marginal, consumption-based (incl. T&amp;D + power-station losses), Commercial/Public sector; a per-year trajectory over the horizon, not a single rate (the grid decarbonises  substantially) — see model_parameters.xlsx: Emissions sheet, Electricity Emission Factor group.</t>
  </si>
  <si>
    <t>- Exported PV is CREDITED at the same long-run-marginal factor (avoided grid generation).</t>
  </si>
  <si>
    <t>- Gas combustion: constant all-GHG factor (gross CV) — see Emissions sheet, Gas Emission Factor group.</t>
  </si>
  <si>
    <t>- Emissions are summed UNDISCOUNTED over the 15-yr horizon. Carbon values are used only for the monetised-carbon and MAC reporting figures, not in OF1 — see Emissions sheet, Carbon Value group.</t>
  </si>
  <si>
    <t>- Three objective views are produced: NPV-min, carbon-min, and the NPV/carbon trade-off. The pooled trade-off set is the non-dominated subset of the two single-objective sweeps, taken within each (district, activity) cell across heating technologies (assemble_pareto — 'Pareto Data' sheet). A true epsilon-constraint frontier — expected carbon capped at a sweep of levels and cost re-minimised at each — is traced separately for the featured cell only (pareto_front in optimisation_engine.py — 'Pareto Front Data' sheet).</t>
  </si>
  <si>
    <t>UNCERTAINTY — TWO-STAGE STOCHASTIC PROGRAM (TSSP)</t>
  </si>
  <si>
    <t>- The model is a two-stage stochastic program. STAGE 1 (here-and-now, shared across all scenarios): the sizing/selection decisions.  STAGE 2 (recourse, per scenario): the half-hourly dispatch, free to re-optimise against each  scenario's realised prices.</t>
  </si>
  <si>
    <t>- The reported design is the single robust stage-1 solution.</t>
  </si>
  <si>
    <t>- Two cost rounds are run and reported side by side: 'deterministic' (the single central price scenario) and 'stochastic' (the reduced weighted scenario set). Each writes its own results workbook and chart set. The deterministic round is also the one every downstream analysis re-solves against.</t>
  </si>
  <si>
    <t>- Uncertain input (this iteration): ELECTRICITY IMPORT price only. Two facets, both sampled:</t>
  </si>
  <si>
    <t xml:space="preserve">    * level multiplier — triangular(min=Low, mode=Central=1.0, max=High) — see model_parameters.xlsx: Energy Prices sheet, Import Price Scenario group (elec_import_multiplier).</t>
  </si>
  <si>
    <t xml:space="preserve">    * annual escalation — triangular over the Energy Price Growth electricity band (Low/Central/High) — see Energy Prices sheet, Energy Price Growth group (elec_price_growth).</t>
  </si>
  <si>
    <t xml:space="preserve">  Level and escalation are sampled independently; each draw -&gt; a 15-yr price path level*(1+growth)^y.</t>
  </si>
  <si>
    <t>- Scenario generation: 2-D Latin Hypercube Sampling reduced to a small set of weighted representative  scenarios by k-medoid clustering of the price paths — see uncertainty.py, DEFAULT_N_SAMPLES / DEFAULT_N_REDUCED.</t>
  </si>
  <si>
    <t xml:space="preserve">  Export and gas prices are held at their central trajectories. Because the Green Book band is right-skewed,  the expected sampled price sits above Central — the crisis-tail risk the design is hedged against.</t>
  </si>
  <si>
    <t>- COST objective = stage-1 capex/maintenance/replacement + expected (probability-weighted) recourse NPV over the scenario set. Reported metrics (total cost, NPV savings vs a per-scenario BAU, payback)  are expected values; the min/max/std across scenarios give the robustness spread of the one design.</t>
  </si>
  <si>
    <t>- EMISSIONS objective is price-independent, so it is solved deterministically on a single central scenario (the stochastic structure adds nothing until demand / PV uncertainty is included).</t>
  </si>
  <si>
    <t>DOWNSTREAM ANALYSIS (all run off the deterministic cost round)</t>
  </si>
  <si>
    <t>- Grid headroom margin (grid_sensitivity.py), per (district, activity) × heat-pump cell. Feasible cells: bisects a uniform demand-level multiplier upward until the cell turns infeasible, reported as demand_growth_margin_pct — how much further demand growth the present-day grid ceiling can absorb. Infeasible cells: bisects the import-ceiling override upward until the cell solves, reported as grid_import_threshold_kw / grid_shortfall_kw. Each trial pins stage-1 sizing to the baseline design (fixed n_pv, fixed thermal store, no battery) and runs on the deterministic price scenario, since feasibility is a physical property of demand / COP / headroom shared across price scenarios. Gas Boiler is out of scope (it draws no heat-pump electricity).</t>
  </si>
  <si>
    <t xml:space="preserve">    * The margin is per building and is an UPPER BOUND: the DNO headroom is already net of everything currently connected, but the whole of that spare capacity is allocated to this one site, with no other connection behind the same substation assumed to grow.</t>
  </si>
  <si>
    <t>- Policy levers (policy_recommendations.py), back-calculated once per activity class at that class's own best-NPV district, so a recommendation can be targeted by end-user type and location: (1) the battery capex rebate that makes storage NPV-recommended; (2) the heat-pump capex rebate that undercuts the gas boiler; (3) the uniform electricity import-price cut that does the same, anchored at 0% and 100% HP capex rebate, with the gas boiler re-solved under the same cut for a fair comparison; (4) the SEG export-price multiple that makes storage pay on export alone; and (5) a step-wise 0-to-100% battery capex grant sweep in 5% steps, showing what each increment buys, its cost per kWh installed, and how much comes back as NPV gain to the end user.</t>
  </si>
  <si>
    <t>- Technology sensitivities. Both fix stage-1 sizing at the saved deterministic design and re-solve stage-2 dispatch only, so they isolate the technology change rather than re-optimising around it. ASHP: Grant Aerona3 R32, COP @ A7/W55 = 2.66 against the model's 2.7283, paired with a 2.6% capex cut (ashp_grant_aerona3_sensitivity.py). PV: CEP library Panel 1 substituted for the Panels 16-18 default, area-matched so n_pv is rescaled to hold roof area constant and capex scaled by the price ratio (pv_panel1_sensitivity.py).</t>
  </si>
  <si>
    <t>- DEC validation (scripts/dec_validation.py). Modelled year-0 energy intensities against metered Display Energy Certificates. This exists to break the circularity in the electricity arm of the benchmark comparison, where the modelled non-EV electricity IS the CIBSE benchmark, so comparing it against a benchmark survey only tests one benchmark against another; the DEC 'annual_*' fields are metered actuals and sit outside the whole build-up. Modelled useful heat is divided by boiler efficiency to match DEC's delivered-fuel convention, and modelled electricity is reported both including and excluding the assumed EV charging layer. Sample caveat: public-authority stock at or above 250 m² only.</t>
  </si>
  <si>
    <t>OUT OF SCOPE</t>
  </si>
  <si>
    <t>- Seasonal (inter-day) thermal storage; the buffer store is daily-cycling only</t>
  </si>
  <si>
    <t>- Demand response / load shifting</t>
  </si>
  <si>
    <t>- Embodied / lifecycle carbon of PV, battery, heat-pump plant (no UK-gov source; operational only)</t>
  </si>
  <si>
    <t>- Uncertainty in demand, PV generation, gas and carbon prices (only electricity import price is built in)</t>
  </si>
  <si>
    <t>- Frequency response revenue</t>
  </si>
  <si>
    <t>1) Download the DEC bulk 'display-csv' extract from the register</t>
  </si>
  <si>
    <t>- Panel 1: 17.52% efficiency, -0.40%/K temperature coefficient, 0.285 kWp, 1.63 m2, GBP 0.4737/Wp
- Panels 16-18 default of 20.9%, -0.26%/K, 0.365 kWp, 1.75 m2, GBP 0.6636/Wp. 
- Area-matched substitution: n_pv is rescaled so the Panel 1 array occupies the same roof area, with capex scaled by the price ratio. 
- Stage-1 sizing is fixed at the saved deterministic design; only stage-2 dispatch is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</si>
</sst>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b/>
      <sz val="8"/>
      <color theme="1"/>
      <name val="Arial"/>
      <family val="2"/>
    </font>
    <font>
      <b/>
      <sz val="10"/>
      <color theme="1"/>
      <name val="Arial"/>
      <family val="2"/>
    </font>
    <font>
      <sz val="8"/>
      <color theme="1"/>
      <name val="Arial"/>
      <family val="2"/>
    </font>
    <font>
      <u/>
      <sz val="8"/>
      <color theme="10"/>
      <name val="Arial"/>
      <family val="2"/>
    </font>
    <font>
      <sz val="10"/>
      <color theme="1"/>
      <name val="Arial"/>
      <family val="2"/>
    </font>
    <font>
      <b/>
      <sz val="11"/>
      <name val="Calibri"/>
      <family val="2"/>
    </font>
    <font>
      <sz val="11"/>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3">
    <xf numFmtId="0" fontId="0" fillId="0" borderId="0" xfId="0"/>
    <xf numFmtId="0" fontId="2" fillId="2" borderId="1" xfId="0" applyFont="1" applyFill="1" applyBorder="1" applyAlignment="1">
      <alignment vertical="top" wrapText="1"/>
    </xf>
    <xf numFmtId="0" fontId="3" fillId="0" borderId="0" xfId="0" applyFont="1" applyAlignment="1">
      <alignment vertical="top"/>
    </xf>
    <xf numFmtId="0" fontId="4" fillId="0" borderId="1" xfId="0" applyFont="1" applyBorder="1" applyAlignment="1">
      <alignment vertical="top" wrapText="1"/>
    </xf>
    <xf numFmtId="0" fontId="4" fillId="0" borderId="1" xfId="0" quotePrefix="1" applyFont="1" applyBorder="1" applyAlignment="1">
      <alignment vertical="top" wrapText="1"/>
    </xf>
    <xf numFmtId="0" fontId="5" fillId="0" borderId="1" xfId="1" applyFont="1" applyBorder="1" applyAlignment="1">
      <alignment vertical="top" wrapText="1"/>
    </xf>
    <xf numFmtId="0" fontId="6" fillId="0" borderId="0" xfId="0" applyFont="1" applyAlignment="1">
      <alignment vertical="top"/>
    </xf>
    <xf numFmtId="0" fontId="6" fillId="0" borderId="0" xfId="0" applyFont="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7" fillId="0" borderId="0" xfId="0" applyFont="1"/>
    <xf numFmtId="0" fontId="8" fillId="0" borderId="0" xfId="0" quotePrefix="1" applyFont="1"/>
    <xf numFmtId="0" fontId="8" fillId="0" borderId="0" xfId="0" applyFont="1"/>
  </cellXfs>
  <cellStyles count="2">
    <cellStyle name="Hyperlink" xfId="1" builtinId="8"/>
    <cellStyle name="Normal" xfId="0" builtinId="0"/>
  </cellStyles>
  <dxfs count="2">
    <dxf>
      <fill>
        <patternFill>
          <bgColor theme="7" tint="0.79998168889431442"/>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verpass-api.de/api/interpreter" TargetMode="External"/><Relationship Id="rId3" Type="http://schemas.openxmlformats.org/officeDocument/2006/relationships/hyperlink" Target="https://irp-cdn.multiscreensite.com/8c467baa/files/uploaded/CIBSE-TM46-Energy-Benchmarks.compressed.pdf" TargetMode="External"/><Relationship Id="rId7" Type="http://schemas.openxmlformats.org/officeDocument/2006/relationships/hyperlink" Target="https://ukclimateprojections-ui.metoffice.gov.uk/products/form/LS3_Subset_01" TargetMode="External"/><Relationship Id="rId12" Type="http://schemas.openxmlformats.org/officeDocument/2006/relationships/hyperlink" Target="https://data.elexon.co.uk/bmrs/api/v1/datasets/MID" TargetMode="External"/><Relationship Id="rId2" Type="http://schemas.openxmlformats.org/officeDocument/2006/relationships/hyperlink" Target="https://www.uk-ncm.org.uk/download.jsp" TargetMode="External"/><Relationship Id="rId1" Type="http://schemas.openxmlformats.org/officeDocument/2006/relationships/hyperlink" Target="https://www.cibse.org/knowledge-research/knowledge-resources/knowledge-toolbox/benchmarking-registration" TargetMode="External"/><Relationship Id="rId6" Type="http://schemas.openxmlformats.org/officeDocument/2006/relationships/hyperlink" Target="https://www.metoffice.gov.uk/research/climate/maps-and-data/uk-and-regional-series" TargetMode="External"/><Relationship Id="rId11" Type="http://schemas.openxmlformats.org/officeDocument/2006/relationships/hyperlink" Target="https://www.ukpowernetworks.co.uk/our-company/distribution-use-of-system-charges" TargetMode="External"/><Relationship Id="rId5" Type="http://schemas.openxmlformats.org/officeDocument/2006/relationships/hyperlink" Target="https://ukpowernetworks.opendatasoft.com/explore/assets/ukpn-standard-profiles-electricity-demand/" TargetMode="External"/><Relationship Id="rId10" Type="http://schemas.openxmlformats.org/officeDocument/2006/relationships/hyperlink" Target="https://www.gov.uk/government/publications/the-green-book-appraisal-and-evaluation-in-central-government" TargetMode="External"/><Relationship Id="rId4" Type="http://schemas.openxmlformats.org/officeDocument/2006/relationships/hyperlink" Target="https://www.gov.uk/government/publications/building-energy-efficiency-survey-bees" TargetMode="External"/><Relationship Id="rId9" Type="http://schemas.openxmlformats.org/officeDocument/2006/relationships/hyperlink" Target="https://archive-api.open-meteo.com/v1/arch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topLeftCell="A20" workbookViewId="0">
      <selection activeCell="F33" sqref="F33"/>
    </sheetView>
  </sheetViews>
  <sheetFormatPr defaultRowHeight="12.5" x14ac:dyDescent="0.35"/>
  <cols>
    <col min="1" max="1" width="22.6328125" style="7" bestFit="1" customWidth="1"/>
    <col min="2" max="2" width="26.54296875" style="7" bestFit="1" customWidth="1"/>
    <col min="3" max="3" width="19.36328125" style="7" bestFit="1" customWidth="1"/>
    <col min="4" max="4" width="16.26953125" style="7" bestFit="1" customWidth="1"/>
    <col min="5" max="5" width="27.90625" style="7" bestFit="1" customWidth="1"/>
    <col min="6" max="6" width="54.54296875" style="8" customWidth="1"/>
    <col min="7" max="7" width="43.08984375" style="6" bestFit="1" customWidth="1"/>
    <col min="8" max="8" width="42.6328125" style="8" bestFit="1" customWidth="1"/>
    <col min="9" max="11" width="8.7265625" style="6" customWidth="1"/>
    <col min="12" max="16384" width="8.7265625" style="6"/>
  </cols>
  <sheetData>
    <row r="1" spans="1:8" s="2" customFormat="1" ht="13" customHeight="1" x14ac:dyDescent="0.35">
      <c r="A1" s="1" t="s">
        <v>0</v>
      </c>
      <c r="B1" s="1" t="s">
        <v>1</v>
      </c>
      <c r="C1" s="1" t="s">
        <v>2</v>
      </c>
      <c r="D1" s="1" t="s">
        <v>3</v>
      </c>
      <c r="E1" s="1" t="s">
        <v>4</v>
      </c>
      <c r="F1" s="1" t="s">
        <v>5</v>
      </c>
      <c r="G1" s="1" t="s">
        <v>6</v>
      </c>
      <c r="H1" s="1" t="s">
        <v>7</v>
      </c>
    </row>
    <row r="2" spans="1:8" s="2" customFormat="1" ht="30" customHeight="1" x14ac:dyDescent="0.35">
      <c r="A2" s="3" t="s">
        <v>8</v>
      </c>
      <c r="B2" s="3" t="s">
        <v>9</v>
      </c>
      <c r="C2" s="3" t="s">
        <v>10</v>
      </c>
      <c r="D2" s="3" t="s">
        <v>11</v>
      </c>
      <c r="E2" s="3" t="s">
        <v>12</v>
      </c>
      <c r="F2" s="4" t="s">
        <v>13</v>
      </c>
      <c r="G2" s="4" t="s">
        <v>14</v>
      </c>
      <c r="H2" s="5" t="s">
        <v>15</v>
      </c>
    </row>
    <row r="3" spans="1:8" ht="40" customHeight="1" x14ac:dyDescent="0.35">
      <c r="A3" s="3" t="s">
        <v>8</v>
      </c>
      <c r="B3" s="3" t="s">
        <v>9</v>
      </c>
      <c r="C3" s="3" t="s">
        <v>16</v>
      </c>
      <c r="D3" s="3" t="s">
        <v>17</v>
      </c>
      <c r="E3" s="3" t="s">
        <v>18</v>
      </c>
      <c r="F3" s="4" t="s">
        <v>19</v>
      </c>
      <c r="G3" s="4" t="s">
        <v>20</v>
      </c>
      <c r="H3" s="5" t="s">
        <v>21</v>
      </c>
    </row>
    <row r="4" spans="1:8" ht="60" customHeight="1" x14ac:dyDescent="0.35">
      <c r="A4" s="3" t="s">
        <v>22</v>
      </c>
      <c r="B4" s="3" t="s">
        <v>9</v>
      </c>
      <c r="C4" s="3" t="s">
        <v>23</v>
      </c>
      <c r="D4" s="3" t="s">
        <v>11</v>
      </c>
      <c r="E4" s="3" t="s">
        <v>24</v>
      </c>
      <c r="F4" s="4" t="s">
        <v>25</v>
      </c>
      <c r="G4" s="3" t="s">
        <v>26</v>
      </c>
      <c r="H4" s="5" t="s">
        <v>27</v>
      </c>
    </row>
    <row r="5" spans="1:8" ht="40" customHeight="1" x14ac:dyDescent="0.35">
      <c r="A5" s="3" t="s">
        <v>28</v>
      </c>
      <c r="B5" s="3" t="s">
        <v>9</v>
      </c>
      <c r="C5" s="3" t="s">
        <v>29</v>
      </c>
      <c r="D5" s="3" t="s">
        <v>30</v>
      </c>
      <c r="E5" s="3" t="s">
        <v>31</v>
      </c>
      <c r="F5" s="4" t="s">
        <v>32</v>
      </c>
      <c r="G5" s="4" t="s">
        <v>33</v>
      </c>
      <c r="H5" s="5" t="s">
        <v>34</v>
      </c>
    </row>
    <row r="6" spans="1:8" ht="20" customHeight="1" x14ac:dyDescent="0.35">
      <c r="A6" s="3" t="s">
        <v>35</v>
      </c>
      <c r="B6" s="3" t="s">
        <v>9</v>
      </c>
      <c r="C6" s="3" t="s">
        <v>36</v>
      </c>
      <c r="D6" s="3" t="s">
        <v>37</v>
      </c>
      <c r="E6" s="3" t="s">
        <v>38</v>
      </c>
      <c r="F6" s="4" t="s">
        <v>39</v>
      </c>
      <c r="G6" s="4" t="s">
        <v>40</v>
      </c>
      <c r="H6" s="5" t="s">
        <v>41</v>
      </c>
    </row>
    <row r="7" spans="1:8" ht="30" customHeight="1" x14ac:dyDescent="0.35">
      <c r="A7" s="3" t="s">
        <v>42</v>
      </c>
      <c r="B7" s="3" t="s">
        <v>43</v>
      </c>
      <c r="C7" s="3" t="s">
        <v>44</v>
      </c>
      <c r="D7" s="3" t="s">
        <v>45</v>
      </c>
      <c r="E7" s="3" t="s">
        <v>46</v>
      </c>
      <c r="F7" s="3" t="s">
        <v>47</v>
      </c>
      <c r="G7" s="3" t="s">
        <v>48</v>
      </c>
      <c r="H7" s="9"/>
    </row>
    <row r="8" spans="1:8" ht="30" customHeight="1" x14ac:dyDescent="0.35">
      <c r="A8" s="3" t="s">
        <v>49</v>
      </c>
      <c r="B8" s="3" t="s">
        <v>43</v>
      </c>
      <c r="C8" s="3" t="s">
        <v>50</v>
      </c>
      <c r="D8" s="3" t="s">
        <v>51</v>
      </c>
      <c r="E8" s="3" t="s">
        <v>52</v>
      </c>
      <c r="F8" s="3" t="s">
        <v>53</v>
      </c>
      <c r="G8" s="3" t="s">
        <v>48</v>
      </c>
      <c r="H8" s="3"/>
    </row>
    <row r="9" spans="1:8" ht="30" customHeight="1" x14ac:dyDescent="0.35">
      <c r="A9" s="3" t="s">
        <v>54</v>
      </c>
      <c r="B9" s="3" t="s">
        <v>43</v>
      </c>
      <c r="C9" s="3" t="s">
        <v>55</v>
      </c>
      <c r="D9" s="3" t="s">
        <v>56</v>
      </c>
      <c r="E9" s="3" t="s">
        <v>57</v>
      </c>
      <c r="F9" s="3" t="s">
        <v>58</v>
      </c>
      <c r="G9" s="3" t="s">
        <v>48</v>
      </c>
      <c r="H9" s="9"/>
    </row>
    <row r="10" spans="1:8" ht="20" customHeight="1" x14ac:dyDescent="0.35">
      <c r="A10" s="3" t="s">
        <v>59</v>
      </c>
      <c r="B10" s="3" t="s">
        <v>60</v>
      </c>
      <c r="C10" s="4" t="s">
        <v>61</v>
      </c>
      <c r="D10" s="3" t="s">
        <v>62</v>
      </c>
      <c r="E10" s="3" t="s">
        <v>63</v>
      </c>
      <c r="F10" s="4" t="s">
        <v>64</v>
      </c>
      <c r="G10" s="4" t="s">
        <v>65</v>
      </c>
      <c r="H10" s="5" t="s">
        <v>66</v>
      </c>
    </row>
    <row r="11" spans="1:8" ht="20" customHeight="1" x14ac:dyDescent="0.35">
      <c r="A11" s="3" t="s">
        <v>67</v>
      </c>
      <c r="B11" s="3" t="s">
        <v>68</v>
      </c>
      <c r="C11" s="4" t="s">
        <v>61</v>
      </c>
      <c r="D11" s="3" t="s">
        <v>69</v>
      </c>
      <c r="E11" s="3" t="s">
        <v>70</v>
      </c>
      <c r="F11" s="4" t="s">
        <v>71</v>
      </c>
      <c r="G11" s="4" t="s">
        <v>72</v>
      </c>
      <c r="H11" s="5" t="s">
        <v>73</v>
      </c>
    </row>
    <row r="12" spans="1:8" ht="50" customHeight="1" x14ac:dyDescent="0.35">
      <c r="A12" s="3" t="s">
        <v>74</v>
      </c>
      <c r="B12" s="3" t="s">
        <v>75</v>
      </c>
      <c r="C12" s="3"/>
      <c r="D12" s="3" t="s">
        <v>69</v>
      </c>
      <c r="E12" s="3" t="s">
        <v>76</v>
      </c>
      <c r="F12" s="4" t="s">
        <v>77</v>
      </c>
      <c r="G12" s="4" t="s">
        <v>78</v>
      </c>
      <c r="H12" s="5" t="s">
        <v>79</v>
      </c>
    </row>
    <row r="13" spans="1:8" ht="30" customHeight="1" x14ac:dyDescent="0.35">
      <c r="A13" s="3" t="s">
        <v>80</v>
      </c>
      <c r="B13" s="3" t="s">
        <v>81</v>
      </c>
      <c r="C13" s="3" t="s">
        <v>61</v>
      </c>
      <c r="D13" s="3" t="s">
        <v>82</v>
      </c>
      <c r="E13" s="3" t="s">
        <v>83</v>
      </c>
      <c r="F13" s="3" t="s">
        <v>84</v>
      </c>
      <c r="G13" s="3" t="s">
        <v>85</v>
      </c>
      <c r="H13" s="3"/>
    </row>
    <row r="14" spans="1:8" ht="30" customHeight="1" x14ac:dyDescent="0.35">
      <c r="A14" s="3" t="s">
        <v>86</v>
      </c>
      <c r="B14" s="3" t="s">
        <v>87</v>
      </c>
      <c r="C14" s="3" t="s">
        <v>61</v>
      </c>
      <c r="D14" s="3" t="s">
        <v>88</v>
      </c>
      <c r="E14" s="3" t="s">
        <v>89</v>
      </c>
      <c r="F14" s="3" t="s">
        <v>84</v>
      </c>
      <c r="G14" s="3" t="s">
        <v>90</v>
      </c>
      <c r="H14" s="3"/>
    </row>
    <row r="15" spans="1:8" ht="30" customHeight="1" x14ac:dyDescent="0.35">
      <c r="A15" s="3" t="s">
        <v>91</v>
      </c>
      <c r="B15" s="3" t="s">
        <v>92</v>
      </c>
      <c r="C15" s="3" t="s">
        <v>93</v>
      </c>
      <c r="D15" s="3" t="s">
        <v>94</v>
      </c>
      <c r="E15" s="3" t="s">
        <v>95</v>
      </c>
      <c r="F15" s="3" t="s">
        <v>96</v>
      </c>
      <c r="G15" s="3" t="s">
        <v>97</v>
      </c>
      <c r="H15" s="9" t="s">
        <v>98</v>
      </c>
    </row>
    <row r="16" spans="1:8" ht="30" customHeight="1" x14ac:dyDescent="0.35">
      <c r="A16" s="3" t="s">
        <v>99</v>
      </c>
      <c r="B16" s="3" t="s">
        <v>100</v>
      </c>
      <c r="C16" s="3" t="s">
        <v>101</v>
      </c>
      <c r="D16" s="3" t="s">
        <v>102</v>
      </c>
      <c r="E16" s="3" t="s">
        <v>103</v>
      </c>
      <c r="F16" s="3" t="s">
        <v>104</v>
      </c>
      <c r="G16" s="3" t="s">
        <v>105</v>
      </c>
      <c r="H16" s="9" t="s">
        <v>106</v>
      </c>
    </row>
    <row r="17" spans="1:8" ht="90" customHeight="1" x14ac:dyDescent="0.35">
      <c r="A17" s="3" t="s">
        <v>107</v>
      </c>
      <c r="B17" s="3" t="s">
        <v>108</v>
      </c>
      <c r="C17" s="3" t="s">
        <v>61</v>
      </c>
      <c r="D17" s="3" t="s">
        <v>109</v>
      </c>
      <c r="E17" s="3" t="s">
        <v>110</v>
      </c>
      <c r="F17" s="4" t="s">
        <v>111</v>
      </c>
      <c r="G17" s="4" t="s">
        <v>297</v>
      </c>
      <c r="H17" s="5" t="s">
        <v>112</v>
      </c>
    </row>
    <row r="18" spans="1:8" ht="30" customHeight="1" x14ac:dyDescent="0.35">
      <c r="A18" s="3" t="s">
        <v>113</v>
      </c>
      <c r="B18" s="3" t="s">
        <v>43</v>
      </c>
      <c r="C18" s="3" t="s">
        <v>114</v>
      </c>
      <c r="D18" s="3" t="s">
        <v>115</v>
      </c>
      <c r="E18" s="3" t="s">
        <v>116</v>
      </c>
      <c r="F18" s="3" t="s">
        <v>117</v>
      </c>
      <c r="G18" s="3" t="s">
        <v>48</v>
      </c>
      <c r="H18" s="9"/>
    </row>
    <row r="19" spans="1:8" ht="30" customHeight="1" x14ac:dyDescent="0.35">
      <c r="A19" s="3" t="s">
        <v>118</v>
      </c>
      <c r="B19" s="3" t="s">
        <v>43</v>
      </c>
      <c r="C19" s="3" t="s">
        <v>119</v>
      </c>
      <c r="D19" s="3" t="s">
        <v>120</v>
      </c>
      <c r="E19" s="3" t="s">
        <v>121</v>
      </c>
      <c r="F19" s="3" t="s">
        <v>122</v>
      </c>
      <c r="G19" s="3" t="s">
        <v>48</v>
      </c>
      <c r="H19" s="9"/>
    </row>
    <row r="20" spans="1:8" ht="30" customHeight="1" x14ac:dyDescent="0.35">
      <c r="A20" s="3" t="s">
        <v>123</v>
      </c>
      <c r="B20" s="3" t="s">
        <v>43</v>
      </c>
      <c r="C20" s="3" t="s">
        <v>124</v>
      </c>
      <c r="D20" s="3" t="s">
        <v>125</v>
      </c>
      <c r="E20" s="3" t="s">
        <v>126</v>
      </c>
      <c r="F20" s="3" t="s">
        <v>127</v>
      </c>
      <c r="G20" s="3" t="s">
        <v>48</v>
      </c>
      <c r="H20" s="9"/>
    </row>
    <row r="21" spans="1:8" ht="30" customHeight="1" x14ac:dyDescent="0.35">
      <c r="A21" s="3" t="s">
        <v>128</v>
      </c>
      <c r="B21" s="3" t="s">
        <v>43</v>
      </c>
      <c r="C21" s="3" t="s">
        <v>129</v>
      </c>
      <c r="D21" s="3" t="s">
        <v>130</v>
      </c>
      <c r="E21" s="3" t="s">
        <v>131</v>
      </c>
      <c r="F21" s="3" t="s">
        <v>132</v>
      </c>
      <c r="G21" s="3" t="s">
        <v>48</v>
      </c>
      <c r="H21" s="9"/>
    </row>
    <row r="22" spans="1:8" ht="30" customHeight="1" x14ac:dyDescent="0.35">
      <c r="A22" s="3" t="s">
        <v>133</v>
      </c>
      <c r="B22" s="3" t="s">
        <v>43</v>
      </c>
      <c r="C22" s="3" t="s">
        <v>134</v>
      </c>
      <c r="D22" s="3" t="s">
        <v>135</v>
      </c>
      <c r="E22" s="3" t="s">
        <v>136</v>
      </c>
      <c r="F22" s="3" t="s">
        <v>137</v>
      </c>
      <c r="G22" s="3" t="s">
        <v>48</v>
      </c>
      <c r="H22" s="9"/>
    </row>
    <row r="23" spans="1:8" ht="30" customHeight="1" x14ac:dyDescent="0.35">
      <c r="A23" s="3" t="s">
        <v>138</v>
      </c>
      <c r="B23" s="3" t="s">
        <v>43</v>
      </c>
      <c r="C23" s="3" t="s">
        <v>139</v>
      </c>
      <c r="D23" s="3" t="s">
        <v>140</v>
      </c>
      <c r="E23" s="3" t="s">
        <v>141</v>
      </c>
      <c r="F23" s="3" t="s">
        <v>142</v>
      </c>
      <c r="G23" s="3" t="s">
        <v>48</v>
      </c>
      <c r="H23" s="9"/>
    </row>
    <row r="24" spans="1:8" ht="30" customHeight="1" x14ac:dyDescent="0.35">
      <c r="A24" s="3" t="s">
        <v>143</v>
      </c>
      <c r="B24" s="3" t="s">
        <v>43</v>
      </c>
      <c r="C24" s="3" t="s">
        <v>144</v>
      </c>
      <c r="D24" s="3" t="s">
        <v>145</v>
      </c>
      <c r="E24" s="3" t="s">
        <v>146</v>
      </c>
      <c r="F24" s="3" t="s">
        <v>147</v>
      </c>
      <c r="G24" s="3" t="s">
        <v>48</v>
      </c>
      <c r="H24" s="9"/>
    </row>
    <row r="25" spans="1:8" ht="30" customHeight="1" x14ac:dyDescent="0.35">
      <c r="A25" s="3" t="s">
        <v>148</v>
      </c>
      <c r="B25" s="3" t="s">
        <v>43</v>
      </c>
      <c r="C25" s="3" t="s">
        <v>149</v>
      </c>
      <c r="D25" s="3" t="s">
        <v>150</v>
      </c>
      <c r="E25" s="3" t="s">
        <v>151</v>
      </c>
      <c r="F25" s="3" t="s">
        <v>152</v>
      </c>
      <c r="G25" s="3" t="s">
        <v>48</v>
      </c>
      <c r="H25" s="9"/>
    </row>
    <row r="26" spans="1:8" ht="30" customHeight="1" x14ac:dyDescent="0.35">
      <c r="A26" s="3" t="s">
        <v>153</v>
      </c>
      <c r="B26" s="3" t="s">
        <v>43</v>
      </c>
      <c r="C26" s="3" t="s">
        <v>154</v>
      </c>
      <c r="D26" s="3" t="s">
        <v>155</v>
      </c>
      <c r="E26" s="3" t="s">
        <v>156</v>
      </c>
      <c r="F26" s="3" t="s">
        <v>157</v>
      </c>
      <c r="G26" s="3" t="s">
        <v>48</v>
      </c>
      <c r="H26" s="9"/>
    </row>
    <row r="27" spans="1:8" ht="30" customHeight="1" x14ac:dyDescent="0.35">
      <c r="A27" s="3" t="s">
        <v>159</v>
      </c>
      <c r="B27" s="3" t="s">
        <v>43</v>
      </c>
      <c r="C27" s="3" t="s">
        <v>160</v>
      </c>
      <c r="D27" s="3" t="s">
        <v>161</v>
      </c>
      <c r="E27" s="3" t="s">
        <v>162</v>
      </c>
      <c r="F27" s="3" t="s">
        <v>163</v>
      </c>
      <c r="G27" s="3" t="s">
        <v>48</v>
      </c>
      <c r="H27" s="9"/>
    </row>
    <row r="28" spans="1:8" ht="30" customHeight="1" x14ac:dyDescent="0.35">
      <c r="A28" s="3" t="s">
        <v>164</v>
      </c>
      <c r="B28" s="3" t="s">
        <v>165</v>
      </c>
      <c r="C28" s="3" t="s">
        <v>61</v>
      </c>
      <c r="D28" s="3" t="s">
        <v>166</v>
      </c>
      <c r="E28" s="3" t="s">
        <v>167</v>
      </c>
      <c r="F28" s="3" t="s">
        <v>168</v>
      </c>
      <c r="G28" s="3" t="s">
        <v>169</v>
      </c>
      <c r="H28" s="9" t="s">
        <v>170</v>
      </c>
    </row>
    <row r="29" spans="1:8" ht="30" customHeight="1" x14ac:dyDescent="0.35">
      <c r="A29" s="3" t="s">
        <v>171</v>
      </c>
      <c r="B29" s="3" t="s">
        <v>172</v>
      </c>
      <c r="C29" s="3" t="s">
        <v>61</v>
      </c>
      <c r="D29" s="3" t="s">
        <v>173</v>
      </c>
      <c r="E29" s="3" t="s">
        <v>174</v>
      </c>
      <c r="F29" s="3" t="s">
        <v>175</v>
      </c>
      <c r="G29" s="3" t="s">
        <v>176</v>
      </c>
      <c r="H29" s="9" t="s">
        <v>177</v>
      </c>
    </row>
    <row r="30" spans="1:8" ht="30" x14ac:dyDescent="0.35">
      <c r="A30" s="3" t="s">
        <v>178</v>
      </c>
      <c r="B30" s="3" t="s">
        <v>179</v>
      </c>
      <c r="C30" s="3" t="s">
        <v>180</v>
      </c>
      <c r="D30" s="3" t="s">
        <v>181</v>
      </c>
      <c r="E30" s="3" t="s">
        <v>182</v>
      </c>
      <c r="F30" s="3" t="s">
        <v>183</v>
      </c>
      <c r="G30" s="3" t="s">
        <v>184</v>
      </c>
      <c r="H30" s="9" t="s">
        <v>185</v>
      </c>
    </row>
    <row r="31" spans="1:8" ht="75" customHeight="1" x14ac:dyDescent="0.35">
      <c r="A31" s="3" t="s">
        <v>186</v>
      </c>
      <c r="B31" s="3" t="s">
        <v>187</v>
      </c>
      <c r="C31" s="3" t="s">
        <v>61</v>
      </c>
      <c r="D31" s="3" t="s">
        <v>188</v>
      </c>
      <c r="E31" s="3" t="s">
        <v>189</v>
      </c>
      <c r="F31" s="4" t="s">
        <v>190</v>
      </c>
      <c r="G31" s="4" t="s">
        <v>191</v>
      </c>
      <c r="H31" s="5" t="s">
        <v>192</v>
      </c>
    </row>
    <row r="32" spans="1:8" ht="75" customHeight="1" x14ac:dyDescent="0.35">
      <c r="A32" s="3" t="s">
        <v>193</v>
      </c>
      <c r="B32" s="3" t="s">
        <v>194</v>
      </c>
      <c r="C32" s="3" t="s">
        <v>61</v>
      </c>
      <c r="D32" s="3" t="s">
        <v>195</v>
      </c>
      <c r="E32" s="3" t="s">
        <v>196</v>
      </c>
      <c r="F32" s="4" t="s">
        <v>298</v>
      </c>
      <c r="G32" s="4" t="s">
        <v>197</v>
      </c>
      <c r="H32" s="5" t="s">
        <v>158</v>
      </c>
    </row>
  </sheetData>
  <conditionalFormatting sqref="A1:A1048576">
    <cfRule type="containsText" dxfId="1" priority="1" operator="containsText" text="Optimisation:">
      <formula>NOT(ISERROR(SEARCH("Optimisation:",A1)))</formula>
    </cfRule>
    <cfRule type="containsText" dxfId="0" priority="2" operator="containsText" text="Demand:">
      <formula>NOT(ISERROR(SEARCH("Demand:",A1)))</formula>
    </cfRule>
  </conditionalFormatting>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11" r:id="rId6" xr:uid="{00000000-0004-0000-0000-000007000000}"/>
    <hyperlink ref="H12" r:id="rId7" xr:uid="{00000000-0004-0000-0000-000008000000}"/>
    <hyperlink ref="H15" r:id="rId8" xr:uid="{00000000-0004-0000-0000-000009000000}"/>
    <hyperlink ref="H16" r:id="rId9" xr:uid="{00000000-0004-0000-0000-00000A000000}"/>
    <hyperlink ref="H17" r:id="rId10" xr:uid="{00000000-0004-0000-0000-00000B000000}"/>
    <hyperlink ref="H28" r:id="rId11" xr:uid="{00000000-0004-0000-0000-000016000000}"/>
    <hyperlink ref="H29" r:id="rId12" xr:uid="{00000000-0004-0000-0000-00001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4"/>
  <sheetViews>
    <sheetView workbookViewId="0">
      <selection activeCell="A16" sqref="A16"/>
    </sheetView>
  </sheetViews>
  <sheetFormatPr defaultRowHeight="14.5" x14ac:dyDescent="0.35"/>
  <sheetData>
    <row r="1" spans="1:1" x14ac:dyDescent="0.35">
      <c r="A1" s="10" t="s">
        <v>198</v>
      </c>
    </row>
    <row r="2" spans="1:1" x14ac:dyDescent="0.35">
      <c r="A2" s="11" t="s">
        <v>199</v>
      </c>
    </row>
    <row r="3" spans="1:1" x14ac:dyDescent="0.35">
      <c r="A3" s="12" t="s">
        <v>200</v>
      </c>
    </row>
    <row r="4" spans="1:1" x14ac:dyDescent="0.35">
      <c r="A4" s="12" t="s">
        <v>201</v>
      </c>
    </row>
    <row r="5" spans="1:1" x14ac:dyDescent="0.35">
      <c r="A5" s="12" t="s">
        <v>202</v>
      </c>
    </row>
    <row r="6" spans="1:1" x14ac:dyDescent="0.35">
      <c r="A6" s="12" t="s">
        <v>203</v>
      </c>
    </row>
    <row r="7" spans="1:1" x14ac:dyDescent="0.35">
      <c r="A7" s="12" t="s">
        <v>204</v>
      </c>
    </row>
    <row r="8" spans="1:1" x14ac:dyDescent="0.35">
      <c r="A8" s="12" t="s">
        <v>205</v>
      </c>
    </row>
    <row r="9" spans="1:1" x14ac:dyDescent="0.35">
      <c r="A9" s="12" t="s">
        <v>206</v>
      </c>
    </row>
    <row r="10" spans="1:1" x14ac:dyDescent="0.35">
      <c r="A10" s="12" t="s">
        <v>207</v>
      </c>
    </row>
    <row r="11" spans="1:1" x14ac:dyDescent="0.35">
      <c r="A11" s="11" t="s">
        <v>208</v>
      </c>
    </row>
    <row r="12" spans="1:1" x14ac:dyDescent="0.35">
      <c r="A12" s="12" t="s">
        <v>209</v>
      </c>
    </row>
    <row r="13" spans="1:1" x14ac:dyDescent="0.35">
      <c r="A13" s="12" t="s">
        <v>210</v>
      </c>
    </row>
    <row r="14" spans="1:1" x14ac:dyDescent="0.35">
      <c r="A14" s="12" t="s">
        <v>211</v>
      </c>
    </row>
    <row r="15" spans="1:1" x14ac:dyDescent="0.35">
      <c r="A15" s="12" t="s">
        <v>212</v>
      </c>
    </row>
    <row r="16" spans="1:1" x14ac:dyDescent="0.35">
      <c r="A16" s="12" t="s">
        <v>213</v>
      </c>
    </row>
    <row r="17" spans="1:1" x14ac:dyDescent="0.35">
      <c r="A17" s="11"/>
    </row>
    <row r="18" spans="1:1" x14ac:dyDescent="0.35">
      <c r="A18" s="10" t="s">
        <v>214</v>
      </c>
    </row>
    <row r="19" spans="1:1" x14ac:dyDescent="0.35">
      <c r="A19" s="12" t="s">
        <v>215</v>
      </c>
    </row>
    <row r="20" spans="1:1" x14ac:dyDescent="0.35">
      <c r="A20" s="12" t="s">
        <v>216</v>
      </c>
    </row>
    <row r="21" spans="1:1" x14ac:dyDescent="0.35">
      <c r="A21" s="12" t="s">
        <v>217</v>
      </c>
    </row>
    <row r="22" spans="1:1" x14ac:dyDescent="0.35">
      <c r="A22" s="12" t="s">
        <v>218</v>
      </c>
    </row>
    <row r="23" spans="1:1" x14ac:dyDescent="0.35">
      <c r="A23" s="12" t="s">
        <v>219</v>
      </c>
    </row>
    <row r="24" spans="1:1" x14ac:dyDescent="0.35">
      <c r="A24" s="12" t="s">
        <v>220</v>
      </c>
    </row>
    <row r="25" spans="1:1" x14ac:dyDescent="0.35">
      <c r="A25" s="11" t="s">
        <v>221</v>
      </c>
    </row>
    <row r="26" spans="1:1" x14ac:dyDescent="0.35">
      <c r="A26" s="12"/>
    </row>
    <row r="27" spans="1:1" x14ac:dyDescent="0.35">
      <c r="A27" s="10" t="s">
        <v>222</v>
      </c>
    </row>
    <row r="28" spans="1:1" x14ac:dyDescent="0.35">
      <c r="A28" s="11" t="s">
        <v>223</v>
      </c>
    </row>
    <row r="29" spans="1:1" x14ac:dyDescent="0.35">
      <c r="A29" s="12" t="s">
        <v>224</v>
      </c>
    </row>
    <row r="30" spans="1:1" x14ac:dyDescent="0.35">
      <c r="A30" s="12" t="s">
        <v>225</v>
      </c>
    </row>
    <row r="31" spans="1:1" x14ac:dyDescent="0.35">
      <c r="A31" s="11" t="s">
        <v>226</v>
      </c>
    </row>
    <row r="32" spans="1:1" x14ac:dyDescent="0.35">
      <c r="A32" s="12"/>
    </row>
    <row r="33" spans="1:1" x14ac:dyDescent="0.35">
      <c r="A33" s="10" t="s">
        <v>129</v>
      </c>
    </row>
    <row r="34" spans="1:1" x14ac:dyDescent="0.35">
      <c r="A34" s="12" t="s">
        <v>227</v>
      </c>
    </row>
    <row r="35" spans="1:1" x14ac:dyDescent="0.35">
      <c r="A35" s="12" t="s">
        <v>228</v>
      </c>
    </row>
    <row r="36" spans="1:1" x14ac:dyDescent="0.35">
      <c r="A36" s="12" t="s">
        <v>229</v>
      </c>
    </row>
    <row r="37" spans="1:1" x14ac:dyDescent="0.35">
      <c r="A37" s="12" t="s">
        <v>230</v>
      </c>
    </row>
    <row r="38" spans="1:1" x14ac:dyDescent="0.35">
      <c r="A38" s="12" t="s">
        <v>231</v>
      </c>
    </row>
    <row r="39" spans="1:1" x14ac:dyDescent="0.35">
      <c r="A39" s="11"/>
    </row>
    <row r="40" spans="1:1" x14ac:dyDescent="0.35">
      <c r="A40" s="10" t="s">
        <v>232</v>
      </c>
    </row>
    <row r="41" spans="1:1" x14ac:dyDescent="0.35">
      <c r="A41" s="12" t="s">
        <v>233</v>
      </c>
    </row>
    <row r="42" spans="1:1" x14ac:dyDescent="0.35">
      <c r="A42" s="11" t="s">
        <v>234</v>
      </c>
    </row>
    <row r="43" spans="1:1" x14ac:dyDescent="0.35">
      <c r="A43" s="11" t="s">
        <v>235</v>
      </c>
    </row>
    <row r="44" spans="1:1" x14ac:dyDescent="0.35">
      <c r="A44" s="12" t="s">
        <v>236</v>
      </c>
    </row>
    <row r="45" spans="1:1" x14ac:dyDescent="0.35">
      <c r="A45" s="12" t="s">
        <v>237</v>
      </c>
    </row>
    <row r="46" spans="1:1" x14ac:dyDescent="0.35">
      <c r="A46" s="11" t="s">
        <v>238</v>
      </c>
    </row>
    <row r="47" spans="1:1" x14ac:dyDescent="0.35">
      <c r="A47" s="12"/>
    </row>
    <row r="48" spans="1:1" x14ac:dyDescent="0.35">
      <c r="A48" s="10" t="s">
        <v>239</v>
      </c>
    </row>
    <row r="49" spans="1:1" x14ac:dyDescent="0.35">
      <c r="A49" s="12" t="s">
        <v>240</v>
      </c>
    </row>
    <row r="50" spans="1:1" x14ac:dyDescent="0.35">
      <c r="A50" s="12" t="s">
        <v>241</v>
      </c>
    </row>
    <row r="51" spans="1:1" x14ac:dyDescent="0.35">
      <c r="A51" s="11"/>
    </row>
    <row r="52" spans="1:1" x14ac:dyDescent="0.35">
      <c r="A52" s="10" t="s">
        <v>242</v>
      </c>
    </row>
    <row r="53" spans="1:1" x14ac:dyDescent="0.35">
      <c r="A53" s="11" t="s">
        <v>243</v>
      </c>
    </row>
    <row r="54" spans="1:1" x14ac:dyDescent="0.35">
      <c r="A54" s="12" t="s">
        <v>244</v>
      </c>
    </row>
    <row r="55" spans="1:1" x14ac:dyDescent="0.35">
      <c r="A55" s="12" t="s">
        <v>245</v>
      </c>
    </row>
    <row r="56" spans="1:1" x14ac:dyDescent="0.35">
      <c r="A56" s="11" t="s">
        <v>246</v>
      </c>
    </row>
    <row r="57" spans="1:1" x14ac:dyDescent="0.35">
      <c r="A57" s="12" t="s">
        <v>247</v>
      </c>
    </row>
    <row r="58" spans="1:1" x14ac:dyDescent="0.35">
      <c r="A58" s="12" t="s">
        <v>248</v>
      </c>
    </row>
    <row r="59" spans="1:1" x14ac:dyDescent="0.35">
      <c r="A59" s="12" t="s">
        <v>249</v>
      </c>
    </row>
    <row r="60" spans="1:1" x14ac:dyDescent="0.35">
      <c r="A60" s="11" t="s">
        <v>250</v>
      </c>
    </row>
    <row r="61" spans="1:1" x14ac:dyDescent="0.35">
      <c r="A61" s="12"/>
    </row>
    <row r="62" spans="1:1" x14ac:dyDescent="0.35">
      <c r="A62" s="10" t="s">
        <v>251</v>
      </c>
    </row>
    <row r="63" spans="1:1" x14ac:dyDescent="0.35">
      <c r="A63" s="12" t="s">
        <v>252</v>
      </c>
    </row>
    <row r="64" spans="1:1" x14ac:dyDescent="0.35">
      <c r="A64" s="12" t="s">
        <v>253</v>
      </c>
    </row>
    <row r="65" spans="1:1" x14ac:dyDescent="0.35">
      <c r="A65" s="12" t="s">
        <v>254</v>
      </c>
    </row>
    <row r="66" spans="1:1" x14ac:dyDescent="0.35">
      <c r="A66" s="12" t="s">
        <v>255</v>
      </c>
    </row>
    <row r="67" spans="1:1" x14ac:dyDescent="0.35">
      <c r="A67" s="12"/>
    </row>
    <row r="68" spans="1:1" x14ac:dyDescent="0.35">
      <c r="A68" s="10" t="s">
        <v>256</v>
      </c>
    </row>
    <row r="69" spans="1:1" x14ac:dyDescent="0.35">
      <c r="A69" s="12" t="s">
        <v>257</v>
      </c>
    </row>
    <row r="70" spans="1:1" x14ac:dyDescent="0.35">
      <c r="A70" s="12" t="s">
        <v>258</v>
      </c>
    </row>
    <row r="71" spans="1:1" x14ac:dyDescent="0.35">
      <c r="A71" s="12" t="s">
        <v>259</v>
      </c>
    </row>
    <row r="72" spans="1:1" x14ac:dyDescent="0.35">
      <c r="A72" s="12" t="s">
        <v>260</v>
      </c>
    </row>
    <row r="73" spans="1:1" x14ac:dyDescent="0.35">
      <c r="A73" s="12" t="s">
        <v>261</v>
      </c>
    </row>
    <row r="74" spans="1:1" x14ac:dyDescent="0.35">
      <c r="A74" s="11" t="s">
        <v>262</v>
      </c>
    </row>
    <row r="75" spans="1:1" x14ac:dyDescent="0.35">
      <c r="A75" s="12"/>
    </row>
    <row r="76" spans="1:1" x14ac:dyDescent="0.35">
      <c r="A76" s="10" t="s">
        <v>263</v>
      </c>
    </row>
    <row r="77" spans="1:1" x14ac:dyDescent="0.35">
      <c r="A77" s="12" t="s">
        <v>264</v>
      </c>
    </row>
    <row r="78" spans="1:1" x14ac:dyDescent="0.35">
      <c r="A78" s="12" t="s">
        <v>265</v>
      </c>
    </row>
    <row r="79" spans="1:1" x14ac:dyDescent="0.35">
      <c r="A79" s="11" t="s">
        <v>266</v>
      </c>
    </row>
    <row r="80" spans="1:1" x14ac:dyDescent="0.35">
      <c r="A80" s="12"/>
    </row>
    <row r="81" spans="1:1" x14ac:dyDescent="0.35">
      <c r="A81" s="10" t="s">
        <v>267</v>
      </c>
    </row>
    <row r="82" spans="1:1" x14ac:dyDescent="0.35">
      <c r="A82" s="11" t="s">
        <v>268</v>
      </c>
    </row>
    <row r="83" spans="1:1" x14ac:dyDescent="0.35">
      <c r="A83" s="11" t="s">
        <v>269</v>
      </c>
    </row>
    <row r="84" spans="1:1" x14ac:dyDescent="0.35">
      <c r="A84" s="12" t="s">
        <v>270</v>
      </c>
    </row>
    <row r="85" spans="1:1" x14ac:dyDescent="0.35">
      <c r="A85" s="12" t="s">
        <v>271</v>
      </c>
    </row>
    <row r="86" spans="1:1" x14ac:dyDescent="0.35">
      <c r="A86" s="11" t="s">
        <v>272</v>
      </c>
    </row>
    <row r="87" spans="1:1" x14ac:dyDescent="0.35">
      <c r="A87" s="11"/>
    </row>
    <row r="88" spans="1:1" x14ac:dyDescent="0.35">
      <c r="A88" s="10" t="s">
        <v>273</v>
      </c>
    </row>
    <row r="89" spans="1:1" x14ac:dyDescent="0.35">
      <c r="A89" s="12" t="s">
        <v>274</v>
      </c>
    </row>
    <row r="90" spans="1:1" x14ac:dyDescent="0.35">
      <c r="A90" s="12" t="s">
        <v>275</v>
      </c>
    </row>
    <row r="91" spans="1:1" x14ac:dyDescent="0.35">
      <c r="A91" s="12" t="s">
        <v>276</v>
      </c>
    </row>
    <row r="92" spans="1:1" x14ac:dyDescent="0.35">
      <c r="A92" s="11" t="s">
        <v>277</v>
      </c>
    </row>
    <row r="93" spans="1:1" x14ac:dyDescent="0.35">
      <c r="A93" s="12" t="s">
        <v>278</v>
      </c>
    </row>
    <row r="94" spans="1:1" x14ac:dyDescent="0.35">
      <c r="A94" s="11" t="s">
        <v>279</v>
      </c>
    </row>
    <row r="95" spans="1:1" x14ac:dyDescent="0.35">
      <c r="A95" s="11" t="s">
        <v>280</v>
      </c>
    </row>
    <row r="96" spans="1:1" x14ac:dyDescent="0.35">
      <c r="A96" s="12" t="s">
        <v>281</v>
      </c>
    </row>
    <row r="97" spans="1:1" x14ac:dyDescent="0.35">
      <c r="A97" s="12" t="s">
        <v>282</v>
      </c>
    </row>
    <row r="98" spans="1:1" x14ac:dyDescent="0.35">
      <c r="A98" s="11" t="s">
        <v>283</v>
      </c>
    </row>
    <row r="99" spans="1:1" x14ac:dyDescent="0.35">
      <c r="A99" s="12" t="s">
        <v>284</v>
      </c>
    </row>
    <row r="100" spans="1:1" x14ac:dyDescent="0.35">
      <c r="A100" s="12"/>
    </row>
    <row r="101" spans="1:1" x14ac:dyDescent="0.35">
      <c r="A101" s="12"/>
    </row>
    <row r="102" spans="1:1" x14ac:dyDescent="0.35">
      <c r="A102" s="10" t="s">
        <v>285</v>
      </c>
    </row>
    <row r="103" spans="1:1" x14ac:dyDescent="0.35">
      <c r="A103" s="12" t="s">
        <v>286</v>
      </c>
    </row>
    <row r="104" spans="1:1" x14ac:dyDescent="0.35">
      <c r="A104" s="12" t="s">
        <v>287</v>
      </c>
    </row>
    <row r="105" spans="1:1" x14ac:dyDescent="0.35">
      <c r="A105" s="12" t="s">
        <v>288</v>
      </c>
    </row>
    <row r="106" spans="1:1" x14ac:dyDescent="0.35">
      <c r="A106" s="12" t="s">
        <v>289</v>
      </c>
    </row>
    <row r="107" spans="1:1" x14ac:dyDescent="0.35">
      <c r="A107" s="12" t="s">
        <v>290</v>
      </c>
    </row>
    <row r="108" spans="1:1" x14ac:dyDescent="0.35">
      <c r="A108" s="12"/>
    </row>
    <row r="109" spans="1:1" x14ac:dyDescent="0.35">
      <c r="A109" s="10" t="s">
        <v>291</v>
      </c>
    </row>
    <row r="110" spans="1:1" x14ac:dyDescent="0.35">
      <c r="A110" s="12" t="s">
        <v>292</v>
      </c>
    </row>
    <row r="111" spans="1:1" x14ac:dyDescent="0.35">
      <c r="A111" s="12" t="s">
        <v>293</v>
      </c>
    </row>
    <row r="112" spans="1:1" x14ac:dyDescent="0.35">
      <c r="A112" s="12" t="s">
        <v>294</v>
      </c>
    </row>
    <row r="113" spans="1:1" x14ac:dyDescent="0.35">
      <c r="A113" s="12" t="s">
        <v>295</v>
      </c>
    </row>
    <row r="114" spans="1:1" x14ac:dyDescent="0.35">
      <c r="A114" s="12"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Directory</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Tan</dc:creator>
  <cp:lastModifiedBy>Tan, Tanya</cp:lastModifiedBy>
  <dcterms:created xsi:type="dcterms:W3CDTF">2015-06-05T18:17:20Z</dcterms:created>
  <dcterms:modified xsi:type="dcterms:W3CDTF">2026-08-29T16:40:20Z</dcterms:modified>
</cp:coreProperties>
</file>